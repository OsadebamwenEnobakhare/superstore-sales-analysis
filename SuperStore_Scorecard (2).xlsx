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SADEBAMWEN\Downloads\"/>
    </mc:Choice>
  </mc:AlternateContent>
  <xr:revisionPtr revIDLastSave="0" documentId="13_ncr:1_{FED6BD9E-FBB6-40EF-8A11-19CC1DF590D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xecutive Scorecard" sheetId="1" r:id="rId1"/>
    <sheet name="Yearly &amp; Quarterly Trends" sheetId="2" r:id="rId2"/>
    <sheet name="Sub-Category Analysis" sheetId="3" r:id="rId3"/>
    <sheet name="Top Produc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4" l="1"/>
  <c r="F14" i="4"/>
  <c r="F13" i="4"/>
  <c r="F12" i="4"/>
  <c r="F11" i="4"/>
  <c r="F10" i="4"/>
  <c r="F9" i="4"/>
  <c r="F8" i="4"/>
  <c r="F7" i="4"/>
  <c r="F6" i="4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F14" i="2"/>
  <c r="G9" i="2"/>
  <c r="E9" i="2"/>
  <c r="G8" i="2"/>
  <c r="E8" i="2"/>
  <c r="G7" i="2"/>
  <c r="E7" i="2"/>
  <c r="E6" i="2"/>
  <c r="F37" i="1"/>
  <c r="E37" i="1"/>
  <c r="D37" i="1"/>
  <c r="C37" i="1"/>
  <c r="E36" i="1"/>
  <c r="E35" i="1"/>
  <c r="E34" i="1"/>
  <c r="E33" i="1"/>
  <c r="H29" i="1"/>
  <c r="G29" i="1"/>
  <c r="F29" i="1"/>
  <c r="D29" i="1"/>
  <c r="E29" i="1" s="1"/>
  <c r="C29" i="1"/>
  <c r="H28" i="1"/>
  <c r="E28" i="1"/>
  <c r="H27" i="1"/>
  <c r="E27" i="1"/>
  <c r="H26" i="1"/>
  <c r="E26" i="1"/>
  <c r="H22" i="1"/>
  <c r="G22" i="1"/>
  <c r="F22" i="1"/>
  <c r="D22" i="1"/>
  <c r="E22" i="1" s="1"/>
  <c r="C22" i="1"/>
  <c r="H21" i="1"/>
  <c r="E21" i="1"/>
  <c r="H20" i="1"/>
  <c r="E20" i="1"/>
  <c r="H19" i="1"/>
  <c r="E19" i="1"/>
</calcChain>
</file>

<file path=xl/sharedStrings.xml><?xml version="1.0" encoding="utf-8"?>
<sst xmlns="http://schemas.openxmlformats.org/spreadsheetml/2006/main" count="244" uniqueCount="169">
  <si>
    <t>SUPER STORE  |  EXECUTIVE SALES SCORECARD</t>
  </si>
  <si>
    <t>Tools: Python · Pandas · Matplotlib · Seaborn · Microsoft Excel</t>
  </si>
  <si>
    <t xml:space="preserve">  📊  KEY PERFORMANCE INDICATORS  |  4-Year Summary (2014–2017)</t>
  </si>
  <si>
    <t>Metric</t>
  </si>
  <si>
    <t>Value</t>
  </si>
  <si>
    <t>Benchmark / Note</t>
  </si>
  <si>
    <t>Total Revenue</t>
  </si>
  <si>
    <t>$2,297,201</t>
  </si>
  <si>
    <t>4-year cumulative gross sales</t>
  </si>
  <si>
    <t>Total Profit</t>
  </si>
  <si>
    <t>$286,397</t>
  </si>
  <si>
    <t>Net profit after all costs</t>
  </si>
  <si>
    <t>Profit Margin</t>
  </si>
  <si>
    <t>12.47%</t>
  </si>
  <si>
    <t>Target: ≥ 15% — currently below benchmark</t>
  </si>
  <si>
    <t>Total Orders</t>
  </si>
  <si>
    <t>5,009</t>
  </si>
  <si>
    <t>Unique order IDs placed</t>
  </si>
  <si>
    <t>Average Order Value</t>
  </si>
  <si>
    <t>$229.86</t>
  </si>
  <si>
    <t>Revenue per transaction</t>
  </si>
  <si>
    <t>Total Customers</t>
  </si>
  <si>
    <t>793</t>
  </si>
  <si>
    <t>Unique Customer IDs</t>
  </si>
  <si>
    <t>Total Units Sold</t>
  </si>
  <si>
    <t>37,873</t>
  </si>
  <si>
    <t>Cumulative quantity across all orders</t>
  </si>
  <si>
    <t>Discount vs Profit r</t>
  </si>
  <si>
    <t>−0.219</t>
  </si>
  <si>
    <t>Negative correlation — discounts hurt margin</t>
  </si>
  <si>
    <t xml:space="preserve">  📦  CATEGORY PERFORMANCE</t>
  </si>
  <si>
    <t>Category</t>
  </si>
  <si>
    <t>Total Sales ($)</t>
  </si>
  <si>
    <t>Total Profit ($)</t>
  </si>
  <si>
    <t>Profit Margin (%)</t>
  </si>
  <si>
    <t>Orders</t>
  </si>
  <si>
    <t>Units Sold</t>
  </si>
  <si>
    <t>Revenue Share (%)</t>
  </si>
  <si>
    <t>Technology</t>
  </si>
  <si>
    <t>Office Supplies</t>
  </si>
  <si>
    <t>Furniture</t>
  </si>
  <si>
    <t>TOTAL</t>
  </si>
  <si>
    <t xml:space="preserve">  👥  CUSTOMER SEGMENT PERFORMANCE</t>
  </si>
  <si>
    <t>Segment</t>
  </si>
  <si>
    <t>Customers</t>
  </si>
  <si>
    <t>Consumer</t>
  </si>
  <si>
    <t>Corporate</t>
  </si>
  <si>
    <t>Home Office</t>
  </si>
  <si>
    <t xml:space="preserve">  🗺️  REGIONAL PERFORMANCE</t>
  </si>
  <si>
    <t>Region</t>
  </si>
  <si>
    <t>Rating</t>
  </si>
  <si>
    <t>West</t>
  </si>
  <si>
    <t>⭐ Top Performer</t>
  </si>
  <si>
    <t>East</t>
  </si>
  <si>
    <t>✅ Strong</t>
  </si>
  <si>
    <t>Central</t>
  </si>
  <si>
    <t>⚠️ Needs Improvement</t>
  </si>
  <si>
    <t>South</t>
  </si>
  <si>
    <t>📈 Growth Potential</t>
  </si>
  <si>
    <t xml:space="preserve">  🏷️  DISCOUNT IMPACT ANALYSIS</t>
  </si>
  <si>
    <t>Avg Discount (%)</t>
  </si>
  <si>
    <t>Avg Sales/Order ($)</t>
  </si>
  <si>
    <t>Avg Profit/Order ($)</t>
  </si>
  <si>
    <t>Interpretation</t>
  </si>
  <si>
    <t>⚠️ Discounts reduce profit — moderate risk</t>
  </si>
  <si>
    <t>⚠️ Review discount depth on Supplies</t>
  </si>
  <si>
    <t>🚨 Highest discount, lowest margin — urgent review</t>
  </si>
  <si>
    <t>🔍  KEY FINDING: Discounts vs Sales correlation = +0.005 (near zero) · Discounts vs Profit correlation = −0.219 (negative). Discounts above 40% produce losses. Recommend capping at 20%.</t>
  </si>
  <si>
    <t xml:space="preserve">  ✅  DATA-DRIVEN RECOMMENDATIONS</t>
  </si>
  <si>
    <t>1</t>
  </si>
  <si>
    <t>Cap Discounts at 20%</t>
  </si>
  <si>
    <t>Discounts above 40% produce losses. Replace blanket discounting with volume incentives and loyalty rewards.</t>
  </si>
  <si>
    <t>2</t>
  </si>
  <si>
    <t>Invest in Technology Category</t>
  </si>
  <si>
    <t>Technology delivers 17.4% margin — highest. Expand Phones and Copiers inventory and marketing spend.</t>
  </si>
  <si>
    <t>3</t>
  </si>
  <si>
    <t>Launch Consumer Loyalty Programme</t>
  </si>
  <si>
    <t>Consumer = 50.6% of revenue. Loyalty rewards (points, early access) will increase repeat purchase rates.</t>
  </si>
  <si>
    <t>4</t>
  </si>
  <si>
    <t>Fix Central Region Efficiency</t>
  </si>
  <si>
    <t>Central generates 21.8% revenue but disproportionately low profit. Review pricing and logistics.</t>
  </si>
  <si>
    <t>5</t>
  </si>
  <si>
    <t>Quarterly Product Performance Review</t>
  </si>
  <si>
    <t>Bottom 10 products earned under $20 each in 4 years. Discontinue poor performers, reduce carrying costs.</t>
  </si>
  <si>
    <t>6</t>
  </si>
  <si>
    <t>Prepare Proactively for Q4 Demand</t>
  </si>
  <si>
    <t>Oct–Dec sales surge every year. Build inventory and scale staffing from September annually.</t>
  </si>
  <si>
    <t>SUPER STORE  |  YEARLY &amp; QUARTERLY SALES TRENDS</t>
  </si>
  <si>
    <t xml:space="preserve">  📅  ANNUAL PERFORMANCE SUMMARY</t>
  </si>
  <si>
    <t>Year</t>
  </si>
  <si>
    <t>YoY Sales Growth (%)</t>
  </si>
  <si>
    <t>—</t>
  </si>
  <si>
    <t xml:space="preserve">  📆  QUARTERLY REVENUE &amp; PROFIT BREAKDOWN</t>
  </si>
  <si>
    <t>Period</t>
  </si>
  <si>
    <t>Quarter</t>
  </si>
  <si>
    <t>QoQ Sales Change (%)</t>
  </si>
  <si>
    <t>Q1</t>
  </si>
  <si>
    <t>Q2</t>
  </si>
  <si>
    <t>Q3</t>
  </si>
  <si>
    <t>Q4</t>
  </si>
  <si>
    <t>💡  Note: Q4 rows (highlighted) consistently represent peak revenue each year — driven by holiday and year-end purchasing cycles.</t>
  </si>
  <si>
    <t>SUPER STORE  |  SUB-CATEGORY PERFORMANCE ANALYSIS</t>
  </si>
  <si>
    <t xml:space="preserve">  📊  REVENUE &amp; PROFITABILITY BY SUB-CATEGORY (Sorted by Sales)</t>
  </si>
  <si>
    <t>Sub-Category</t>
  </si>
  <si>
    <t>Margin (%)</t>
  </si>
  <si>
    <t>Performance Flag</t>
  </si>
  <si>
    <t>Phones</t>
  </si>
  <si>
    <t>⭐ Top Revenue</t>
  </si>
  <si>
    <t>Chairs</t>
  </si>
  <si>
    <t>✅ Good Sales</t>
  </si>
  <si>
    <t>Storage</t>
  </si>
  <si>
    <t>✅ Solid</t>
  </si>
  <si>
    <t>Tables</t>
  </si>
  <si>
    <t>🚨 LOSS-MAKING</t>
  </si>
  <si>
    <t>Binders</t>
  </si>
  <si>
    <t>✅ Good Volume</t>
  </si>
  <si>
    <t>Machines</t>
  </si>
  <si>
    <t>⚠️ Low Margin</t>
  </si>
  <si>
    <t>Accessories</t>
  </si>
  <si>
    <t>⭐ High Margin</t>
  </si>
  <si>
    <t>Copiers</t>
  </si>
  <si>
    <t>⭐ Best Margin</t>
  </si>
  <si>
    <t>Bookcases</t>
  </si>
  <si>
    <t>Appliances</t>
  </si>
  <si>
    <t>✅ Healthy</t>
  </si>
  <si>
    <t>Furnishings</t>
  </si>
  <si>
    <t>✅ Steady</t>
  </si>
  <si>
    <t>Paper</t>
  </si>
  <si>
    <t>Supplies</t>
  </si>
  <si>
    <t>Art</t>
  </si>
  <si>
    <t>📈 Growth</t>
  </si>
  <si>
    <t>Envelopes</t>
  </si>
  <si>
    <t>📈 Efficient</t>
  </si>
  <si>
    <t>Labels</t>
  </si>
  <si>
    <t>⭐ Top Margin</t>
  </si>
  <si>
    <t>Fasteners</t>
  </si>
  <si>
    <t>📈 Niche</t>
  </si>
  <si>
    <t>🚨  Loss-making sub-categories (highlighted red): Tables (−$17,725), Bookcases (−$3,473), Supplies (−$1,189) — all in Furniture and Office Supplies. Review discounting and pricing urgently.</t>
  </si>
  <si>
    <t>SUPER STORE  |  TOP 10 BEST-SELLING PRODUCTS</t>
  </si>
  <si>
    <t xml:space="preserve">  🏆  TOP 10 PRODUCTS BY TOTAL REVENUE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</si>
  <si>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</si>
  <si>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</si>
  <si>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</si>
  <si>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</si>
  <si>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</si>
  <si>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</si>
  <si>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</si>
  <si>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</si>
  <si>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</si>
  <si>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</si>
  <si>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</si>
  <si>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 xml:space="preserve">  📉  BOTTOM 10 LOWEST-PERFORMING PRODUCTS</t>
  </si>
  <si>
    <t>Action Required</t>
  </si>
  <si>
    <t>Eureka Disposable Bags for Sanitaire Vibra Groomer I Upright Vac</t>
  </si>
  <si>
    <t>❌ Discontinue</t>
  </si>
  <si>
    <t>Avery 5</t>
  </si>
  <si>
    <t>Rediform S.O.S. Purchase Order Book</t>
  </si>
  <si>
    <t>Fiskars Trimmer Replacement Blades</t>
  </si>
  <si>
    <t>Plantronics Savi W745-M Wireless Headset System (MOC)</t>
  </si>
  <si>
    <t>🚨 Loss + Low Sales</t>
  </si>
  <si>
    <t>KI Adjustable-Height Table</t>
  </si>
  <si>
    <t>Acco Binder Covers</t>
  </si>
  <si>
    <t>⚠️ Review</t>
  </si>
  <si>
    <t>Novimex Executive Leather Armchair, Black</t>
  </si>
  <si>
    <t>🚨 Loss-making</t>
  </si>
  <si>
    <t>Xerox 1919</t>
  </si>
  <si>
    <t>Avery 49</t>
  </si>
  <si>
    <t>Dataset: 9,994 Records  ·  21 Columns  ·  January 2014 – December 2017  ·  Analyst: Osadebamwen Enobakhare</t>
  </si>
  <si>
    <t>Super Store Sales Analysis  |  Analyst: Osadebamwen Enobakhare  |  Tools: Python · Pandas · Matplotlib · Seaborn · Excel  | 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</si>
</sst>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b/>
      <sz val="11"/>
      <color rgb="FF2E4057"/>
      <name val="Arial"/>
      <charset val="1"/>
    </font>
    <font>
      <i/>
      <sz val="10"/>
      <color rgb="FF64748B"/>
      <name val="Arial"/>
      <charset val="1"/>
    </font>
    <font>
      <sz val="10"/>
      <color rgb="FF1A1A2E"/>
      <name val="Arial"/>
      <charset val="1"/>
    </font>
    <font>
      <i/>
      <sz val="10"/>
      <color rgb="FF1A1A2E"/>
      <name val="Arial"/>
      <charset val="1"/>
    </font>
    <font>
      <b/>
      <sz val="10"/>
      <color rgb="FF8B1A1A"/>
      <name val="Arial"/>
      <charset val="1"/>
    </font>
    <font>
      <b/>
      <sz val="11"/>
      <color rgb="FFFFFFFF"/>
      <name val="Arial"/>
      <charset val="1"/>
    </font>
    <font>
      <sz val="10"/>
      <color rgb="FF64748B"/>
      <name val="Arial"/>
      <charset val="1"/>
    </font>
    <font>
      <i/>
      <sz val="9"/>
      <color rgb="FFFFFFFF"/>
      <name val="Arial"/>
      <charset val="1"/>
    </font>
    <font>
      <b/>
      <sz val="16"/>
      <color rgb="FFFFFFFF"/>
      <name val="Arial"/>
      <charset val="1"/>
    </font>
    <font>
      <i/>
      <sz val="10"/>
      <color rgb="FF2E4057"/>
      <name val="Arial"/>
      <charset val="1"/>
    </font>
    <font>
      <sz val="10"/>
      <color rgb="FF8B1A1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048A81"/>
        <bgColor rgb="FF008080"/>
      </patternFill>
    </fill>
    <fill>
      <patternFill patternType="solid">
        <fgColor rgb="FFFFFFFF"/>
        <bgColor rgb="FFFFF8F0"/>
      </patternFill>
    </fill>
    <fill>
      <patternFill patternType="solid">
        <fgColor rgb="FFE8F5F4"/>
        <bgColor rgb="FFF2F2F2"/>
      </patternFill>
    </fill>
    <fill>
      <patternFill patternType="solid">
        <fgColor rgb="FFF2F2F2"/>
        <bgColor rgb="FFE8F5F4"/>
      </patternFill>
    </fill>
    <fill>
      <patternFill patternType="solid">
        <fgColor rgb="FFFFF3F0"/>
        <bgColor rgb="FFFFF0F0"/>
      </patternFill>
    </fill>
    <fill>
      <patternFill patternType="solid">
        <fgColor rgb="FFFFF8F0"/>
        <bgColor rgb="FFFFF3F0"/>
      </patternFill>
    </fill>
    <fill>
      <patternFill patternType="solid">
        <fgColor rgb="FFFFF0F0"/>
        <bgColor rgb="FFFFF3F0"/>
      </patternFill>
    </fill>
  </fills>
  <borders count="7">
    <border>
      <left/>
      <right/>
      <top/>
      <bottom/>
      <diagonal/>
    </border>
    <border>
      <left style="thin">
        <color rgb="FF2E4057"/>
      </left>
      <right/>
      <top style="thin">
        <color rgb="FF2E4057"/>
      </top>
      <bottom style="thin">
        <color rgb="FF2E4057"/>
      </bottom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48A81"/>
      </left>
      <right style="thin">
        <color rgb="FF048A81"/>
      </right>
      <top style="thin">
        <color rgb="FF048A81"/>
      </top>
      <bottom style="thin">
        <color rgb="FF048A8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rgb="FFEF798A"/>
      </left>
      <right/>
      <top style="medium">
        <color rgb="FFEF798A"/>
      </top>
      <bottom style="medium">
        <color rgb="FFEF798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6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0" fillId="3" borderId="1" xfId="0" applyFill="1" applyBorder="1"/>
    <xf numFmtId="0" fontId="8" fillId="6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/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4" fontId="8" fillId="4" borderId="3" xfId="0" applyNumberFormat="1" applyFont="1" applyFill="1" applyBorder="1" applyAlignment="1">
      <alignment horizontal="center" vertical="center"/>
    </xf>
    <xf numFmtId="10" fontId="8" fillId="4" borderId="3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164" fontId="8" fillId="6" borderId="3" xfId="0" applyNumberFormat="1" applyFont="1" applyFill="1" applyBorder="1" applyAlignment="1">
      <alignment horizontal="center" vertical="center"/>
    </xf>
    <xf numFmtId="10" fontId="8" fillId="6" borderId="3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5" fillId="6" borderId="3" xfId="0" applyNumberFormat="1" applyFont="1" applyFill="1" applyBorder="1" applyAlignment="1">
      <alignment horizontal="center" vertical="center"/>
    </xf>
    <xf numFmtId="1" fontId="8" fillId="4" borderId="3" xfId="0" applyNumberFormat="1" applyFont="1" applyFill="1" applyBorder="1" applyAlignment="1">
      <alignment horizontal="center" vertical="center"/>
    </xf>
    <xf numFmtId="1" fontId="8" fillId="6" borderId="3" xfId="0" applyNumberFormat="1" applyFont="1" applyFill="1" applyBorder="1" applyAlignment="1">
      <alignment horizontal="center" vertical="center"/>
    </xf>
    <xf numFmtId="1" fontId="5" fillId="8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center" vertical="center"/>
    </xf>
    <xf numFmtId="10" fontId="8" fillId="8" borderId="3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164" fontId="16" fillId="9" borderId="3" xfId="0" applyNumberFormat="1" applyFont="1" applyFill="1" applyBorder="1" applyAlignment="1">
      <alignment horizontal="center" vertical="center"/>
    </xf>
    <xf numFmtId="10" fontId="8" fillId="9" borderId="3" xfId="0" applyNumberFormat="1" applyFont="1" applyFill="1" applyBorder="1" applyAlignment="1">
      <alignment horizontal="center" vertical="center"/>
    </xf>
    <xf numFmtId="3" fontId="8" fillId="9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164" fontId="5" fillId="5" borderId="3" xfId="0" applyNumberFormat="1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10" fontId="8" fillId="5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0C0C0"/>
      <rgbColor rgb="FF808080"/>
      <rgbColor rgb="FF9999FF"/>
      <rgbColor rgb="FF993366"/>
      <rgbColor rgb="FFFFF8F0"/>
      <rgbColor rgb="FFE8F5F4"/>
      <rgbColor rgb="FF660066"/>
      <rgbColor rgb="FFEF798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FF0F0"/>
      <rgbColor rgb="FFFFF3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1A1A2E"/>
      <rgbColor rgb="FF8B1A1A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showGridLines="0" tabSelected="1" zoomScaleNormal="100" workbookViewId="0">
      <pane ySplit="5" topLeftCell="A54" activePane="bottomLeft" state="frozen"/>
      <selection pane="bottomLeft" activeCell="B56" sqref="B56:H56"/>
    </sheetView>
  </sheetViews>
  <sheetFormatPr defaultColWidth="8.7109375" defaultRowHeight="15" x14ac:dyDescent="0.25"/>
  <cols>
    <col min="1" max="1" width="3" customWidth="1"/>
    <col min="2" max="2" width="22" customWidth="1"/>
    <col min="3" max="8" width="18" customWidth="1"/>
    <col min="9" max="9" width="3" customWidth="1"/>
  </cols>
  <sheetData>
    <row r="1" spans="1:10" ht="7.5" customHeight="1" x14ac:dyDescent="0.25">
      <c r="A1" s="15"/>
      <c r="I1" s="15"/>
    </row>
    <row r="2" spans="1:10" ht="39.75" customHeight="1" x14ac:dyDescent="0.25">
      <c r="A2" s="15"/>
      <c r="B2" s="14" t="s">
        <v>0</v>
      </c>
      <c r="C2" s="14"/>
      <c r="D2" s="14"/>
      <c r="E2" s="14"/>
      <c r="F2" s="14"/>
      <c r="G2" s="14"/>
      <c r="H2" s="14"/>
      <c r="I2" s="15"/>
    </row>
    <row r="3" spans="1:10" ht="21.75" customHeight="1" x14ac:dyDescent="0.25">
      <c r="A3" s="15"/>
      <c r="B3" s="13" t="s">
        <v>167</v>
      </c>
      <c r="C3" s="13"/>
      <c r="D3" s="13"/>
      <c r="E3" s="13"/>
      <c r="F3" s="13"/>
      <c r="G3" s="13"/>
      <c r="H3" s="13"/>
      <c r="I3" s="15"/>
    </row>
    <row r="4" spans="1:10" ht="19.5" customHeight="1" x14ac:dyDescent="0.25">
      <c r="A4" s="15"/>
      <c r="B4" s="13" t="s">
        <v>1</v>
      </c>
      <c r="C4" s="13"/>
      <c r="D4" s="13"/>
      <c r="E4" s="13"/>
      <c r="F4" s="13"/>
      <c r="G4" s="13"/>
      <c r="H4" s="13"/>
      <c r="I4" s="15"/>
    </row>
    <row r="5" spans="1:10" ht="9.75" customHeight="1" x14ac:dyDescent="0.25">
      <c r="A5" s="15"/>
      <c r="I5" s="15"/>
    </row>
    <row r="6" spans="1:10" ht="21.75" customHeight="1" x14ac:dyDescent="0.25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19.5" customHeight="1" x14ac:dyDescent="0.25">
      <c r="B7" s="16" t="s">
        <v>3</v>
      </c>
      <c r="C7" s="16" t="s">
        <v>4</v>
      </c>
      <c r="D7" s="11" t="s">
        <v>5</v>
      </c>
      <c r="E7" s="11"/>
      <c r="F7" s="11"/>
      <c r="G7" s="11"/>
      <c r="H7" s="11"/>
    </row>
    <row r="8" spans="1:10" ht="19.5" customHeight="1" x14ac:dyDescent="0.25">
      <c r="B8" s="17" t="s">
        <v>6</v>
      </c>
      <c r="C8" s="18" t="s">
        <v>7</v>
      </c>
      <c r="D8" s="10" t="s">
        <v>8</v>
      </c>
      <c r="E8" s="10"/>
      <c r="F8" s="10"/>
      <c r="G8" s="10"/>
      <c r="H8" s="10"/>
    </row>
    <row r="9" spans="1:10" ht="19.5" customHeight="1" x14ac:dyDescent="0.25">
      <c r="B9" s="19" t="s">
        <v>9</v>
      </c>
      <c r="C9" s="18" t="s">
        <v>10</v>
      </c>
      <c r="D9" s="9" t="s">
        <v>11</v>
      </c>
      <c r="E9" s="9"/>
      <c r="F9" s="9"/>
      <c r="G9" s="9"/>
      <c r="H9" s="9"/>
    </row>
    <row r="10" spans="1:10" ht="19.5" customHeight="1" x14ac:dyDescent="0.25">
      <c r="B10" s="17" t="s">
        <v>12</v>
      </c>
      <c r="C10" s="18" t="s">
        <v>13</v>
      </c>
      <c r="D10" s="10" t="s">
        <v>14</v>
      </c>
      <c r="E10" s="10"/>
      <c r="F10" s="10"/>
      <c r="G10" s="10"/>
      <c r="H10" s="10"/>
    </row>
    <row r="11" spans="1:10" ht="19.5" customHeight="1" x14ac:dyDescent="0.25">
      <c r="B11" s="19" t="s">
        <v>15</v>
      </c>
      <c r="C11" s="18" t="s">
        <v>16</v>
      </c>
      <c r="D11" s="9" t="s">
        <v>17</v>
      </c>
      <c r="E11" s="9"/>
      <c r="F11" s="9"/>
      <c r="G11" s="9"/>
      <c r="H11" s="9"/>
    </row>
    <row r="12" spans="1:10" ht="19.5" customHeight="1" x14ac:dyDescent="0.25">
      <c r="B12" s="17" t="s">
        <v>18</v>
      </c>
      <c r="C12" s="18" t="s">
        <v>19</v>
      </c>
      <c r="D12" s="10" t="s">
        <v>20</v>
      </c>
      <c r="E12" s="10"/>
      <c r="F12" s="10"/>
      <c r="G12" s="10"/>
      <c r="H12" s="10"/>
    </row>
    <row r="13" spans="1:10" ht="19.5" customHeight="1" x14ac:dyDescent="0.25">
      <c r="B13" s="19" t="s">
        <v>21</v>
      </c>
      <c r="C13" s="18" t="s">
        <v>22</v>
      </c>
      <c r="D13" s="9" t="s">
        <v>23</v>
      </c>
      <c r="E13" s="9"/>
      <c r="F13" s="9"/>
      <c r="G13" s="9"/>
      <c r="H13" s="9"/>
    </row>
    <row r="14" spans="1:10" ht="19.5" customHeight="1" x14ac:dyDescent="0.25">
      <c r="B14" s="17" t="s">
        <v>24</v>
      </c>
      <c r="C14" s="18" t="s">
        <v>25</v>
      </c>
      <c r="D14" s="10" t="s">
        <v>26</v>
      </c>
      <c r="E14" s="10"/>
      <c r="F14" s="10"/>
      <c r="G14" s="10"/>
      <c r="H14" s="10"/>
    </row>
    <row r="15" spans="1:10" ht="19.5" customHeight="1" x14ac:dyDescent="0.25">
      <c r="B15" s="19" t="s">
        <v>27</v>
      </c>
      <c r="C15" s="18" t="s">
        <v>28</v>
      </c>
      <c r="D15" s="9" t="s">
        <v>29</v>
      </c>
      <c r="E15" s="9"/>
      <c r="F15" s="9"/>
      <c r="G15" s="9"/>
      <c r="H15" s="9"/>
    </row>
    <row r="17" spans="1:10" ht="21.75" customHeight="1" x14ac:dyDescent="0.25">
      <c r="A17" s="12" t="s">
        <v>30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19.5" customHeight="1" x14ac:dyDescent="0.25">
      <c r="B18" s="16" t="s">
        <v>31</v>
      </c>
      <c r="C18" s="16" t="s">
        <v>32</v>
      </c>
      <c r="D18" s="16" t="s">
        <v>33</v>
      </c>
      <c r="E18" s="16" t="s">
        <v>34</v>
      </c>
      <c r="F18" s="16" t="s">
        <v>35</v>
      </c>
      <c r="G18" s="16" t="s">
        <v>36</v>
      </c>
      <c r="H18" s="16" t="s">
        <v>37</v>
      </c>
    </row>
    <row r="19" spans="1:10" ht="19.5" customHeight="1" x14ac:dyDescent="0.25">
      <c r="B19" s="17" t="s">
        <v>38</v>
      </c>
      <c r="C19" s="20">
        <v>836154.03</v>
      </c>
      <c r="D19" s="20">
        <v>145454.95000000001</v>
      </c>
      <c r="E19" s="21">
        <f>D19/C19</f>
        <v>0.17395712366536104</v>
      </c>
      <c r="F19" s="22">
        <v>1544</v>
      </c>
      <c r="G19" s="22">
        <v>6939</v>
      </c>
      <c r="H19" s="21">
        <f>C19/2297200.86</f>
        <v>0.36398821041709001</v>
      </c>
    </row>
    <row r="20" spans="1:10" ht="19.5" customHeight="1" x14ac:dyDescent="0.25">
      <c r="B20" s="19" t="s">
        <v>39</v>
      </c>
      <c r="C20" s="23">
        <v>719047.03</v>
      </c>
      <c r="D20" s="23">
        <v>122490.8</v>
      </c>
      <c r="E20" s="24">
        <f>D20/C20</f>
        <v>0.1703515832615288</v>
      </c>
      <c r="F20" s="25">
        <v>3742</v>
      </c>
      <c r="G20" s="25">
        <v>22906</v>
      </c>
      <c r="H20" s="24">
        <f>C20/2297200.86</f>
        <v>0.3130100821919421</v>
      </c>
    </row>
    <row r="21" spans="1:10" ht="19.5" customHeight="1" x14ac:dyDescent="0.25">
      <c r="B21" s="17" t="s">
        <v>40</v>
      </c>
      <c r="C21" s="20">
        <v>741999.8</v>
      </c>
      <c r="D21" s="20">
        <v>18451.27</v>
      </c>
      <c r="E21" s="21">
        <f>D21/C21</f>
        <v>2.4866947403489867E-2</v>
      </c>
      <c r="F21" s="22">
        <v>1764</v>
      </c>
      <c r="G21" s="22">
        <v>8028</v>
      </c>
      <c r="H21" s="21">
        <f>C21/2297200.86</f>
        <v>0.32300170739096801</v>
      </c>
    </row>
    <row r="22" spans="1:10" ht="19.5" customHeight="1" x14ac:dyDescent="0.25">
      <c r="B22" s="26" t="s">
        <v>41</v>
      </c>
      <c r="C22" s="27">
        <f>SUM(C19:C21)</f>
        <v>2297200.8600000003</v>
      </c>
      <c r="D22" s="27">
        <f>SUM(D19:D21)</f>
        <v>286397.02</v>
      </c>
      <c r="E22" s="28">
        <f>D22/C22</f>
        <v>0.12467217167940638</v>
      </c>
      <c r="F22" s="29">
        <f>SUM(F19:F21)</f>
        <v>7050</v>
      </c>
      <c r="G22" s="29">
        <f>SUM(G19:G21)</f>
        <v>37873</v>
      </c>
      <c r="H22" s="28">
        <f>100%</f>
        <v>1</v>
      </c>
    </row>
    <row r="24" spans="1:10" ht="21.75" customHeight="1" x14ac:dyDescent="0.25">
      <c r="A24" s="12" t="s">
        <v>42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19.5" customHeight="1" x14ac:dyDescent="0.25">
      <c r="B25" s="16" t="s">
        <v>43</v>
      </c>
      <c r="C25" s="16" t="s">
        <v>32</v>
      </c>
      <c r="D25" s="16" t="s">
        <v>33</v>
      </c>
      <c r="E25" s="16" t="s">
        <v>34</v>
      </c>
      <c r="F25" s="16" t="s">
        <v>35</v>
      </c>
      <c r="G25" s="16" t="s">
        <v>44</v>
      </c>
      <c r="H25" s="16" t="s">
        <v>37</v>
      </c>
    </row>
    <row r="26" spans="1:10" ht="19.5" customHeight="1" x14ac:dyDescent="0.25">
      <c r="B26" s="17" t="s">
        <v>45</v>
      </c>
      <c r="C26" s="20">
        <v>1161401.3500000001</v>
      </c>
      <c r="D26" s="20">
        <v>134119.21</v>
      </c>
      <c r="E26" s="21">
        <f>D26/C26</f>
        <v>0.11548050120658115</v>
      </c>
      <c r="F26" s="30">
        <v>2586</v>
      </c>
      <c r="G26" s="30">
        <v>409</v>
      </c>
      <c r="H26" s="21">
        <f>C26/2297200.86</f>
        <v>0.50557239909791785</v>
      </c>
    </row>
    <row r="27" spans="1:10" ht="19.5" customHeight="1" x14ac:dyDescent="0.25">
      <c r="B27" s="19" t="s">
        <v>46</v>
      </c>
      <c r="C27" s="23">
        <v>706146.37</v>
      </c>
      <c r="D27" s="23">
        <v>91979.13</v>
      </c>
      <c r="E27" s="24">
        <f>D27/C27</f>
        <v>0.13025504896385717</v>
      </c>
      <c r="F27" s="31">
        <v>1514</v>
      </c>
      <c r="G27" s="31">
        <v>236</v>
      </c>
      <c r="H27" s="24">
        <f>C27/2297200.86</f>
        <v>0.3073942650361014</v>
      </c>
    </row>
    <row r="28" spans="1:10" ht="19.5" customHeight="1" x14ac:dyDescent="0.25">
      <c r="B28" s="17" t="s">
        <v>47</v>
      </c>
      <c r="C28" s="20">
        <v>429653.15</v>
      </c>
      <c r="D28" s="20">
        <v>60298.68</v>
      </c>
      <c r="E28" s="21">
        <f>D28/C28</f>
        <v>0.14034269270456878</v>
      </c>
      <c r="F28" s="30">
        <v>909</v>
      </c>
      <c r="G28" s="30">
        <v>148</v>
      </c>
      <c r="H28" s="21">
        <f>C28/2297200.86</f>
        <v>0.18703334021910475</v>
      </c>
    </row>
    <row r="29" spans="1:10" ht="19.5" customHeight="1" x14ac:dyDescent="0.25">
      <c r="B29" s="26" t="s">
        <v>41</v>
      </c>
      <c r="C29" s="27">
        <f>SUM(C26:C28)</f>
        <v>2297200.87</v>
      </c>
      <c r="D29" s="27">
        <f>SUM(D26:D28)</f>
        <v>286397.02</v>
      </c>
      <c r="E29" s="28">
        <f>D29/C29</f>
        <v>0.12467217113669297</v>
      </c>
      <c r="F29" s="29">
        <f>SUM(F26:F28)</f>
        <v>5009</v>
      </c>
      <c r="G29" s="29">
        <f>SUM(G26:G28)</f>
        <v>793</v>
      </c>
      <c r="H29" s="28">
        <f>100%</f>
        <v>1</v>
      </c>
    </row>
    <row r="31" spans="1:10" ht="21.75" customHeight="1" x14ac:dyDescent="0.25">
      <c r="A31" s="12" t="s">
        <v>48</v>
      </c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19.5" customHeight="1" x14ac:dyDescent="0.25">
      <c r="B32" s="16" t="s">
        <v>49</v>
      </c>
      <c r="C32" s="16" t="s">
        <v>32</v>
      </c>
      <c r="D32" s="16" t="s">
        <v>33</v>
      </c>
      <c r="E32" s="16" t="s">
        <v>34</v>
      </c>
      <c r="F32" s="16" t="s">
        <v>35</v>
      </c>
      <c r="G32" s="11" t="s">
        <v>50</v>
      </c>
      <c r="H32" s="11"/>
    </row>
    <row r="33" spans="1:10" ht="19.5" customHeight="1" x14ac:dyDescent="0.25">
      <c r="B33" s="17" t="s">
        <v>51</v>
      </c>
      <c r="C33" s="20">
        <v>725457.82</v>
      </c>
      <c r="D33" s="20">
        <v>108418.45</v>
      </c>
      <c r="E33" s="21">
        <f>D33/C33</f>
        <v>0.14944831665058073</v>
      </c>
      <c r="F33" s="22">
        <v>1611</v>
      </c>
      <c r="G33" s="8" t="s">
        <v>52</v>
      </c>
      <c r="H33" s="8"/>
    </row>
    <row r="34" spans="1:10" ht="19.5" customHeight="1" x14ac:dyDescent="0.25">
      <c r="B34" s="19" t="s">
        <v>53</v>
      </c>
      <c r="C34" s="23">
        <v>678781.24</v>
      </c>
      <c r="D34" s="23">
        <v>91522.78</v>
      </c>
      <c r="E34" s="24">
        <f>D34/C34</f>
        <v>0.13483398568882074</v>
      </c>
      <c r="F34" s="25">
        <v>1401</v>
      </c>
      <c r="G34" s="7" t="s">
        <v>54</v>
      </c>
      <c r="H34" s="7"/>
    </row>
    <row r="35" spans="1:10" ht="19.5" customHeight="1" x14ac:dyDescent="0.25">
      <c r="B35" s="17" t="s">
        <v>55</v>
      </c>
      <c r="C35" s="20">
        <v>501239.89</v>
      </c>
      <c r="D35" s="20">
        <v>39706.36</v>
      </c>
      <c r="E35" s="21">
        <f>D35/C35</f>
        <v>7.9216281050576404E-2</v>
      </c>
      <c r="F35" s="22">
        <v>1175</v>
      </c>
      <c r="G35" s="8" t="s">
        <v>56</v>
      </c>
      <c r="H35" s="8"/>
    </row>
    <row r="36" spans="1:10" ht="19.5" customHeight="1" x14ac:dyDescent="0.25">
      <c r="B36" s="19" t="s">
        <v>57</v>
      </c>
      <c r="C36" s="23">
        <v>391721.91</v>
      </c>
      <c r="D36" s="23">
        <v>46749.43</v>
      </c>
      <c r="E36" s="24">
        <f>D36/C36</f>
        <v>0.11934341380087726</v>
      </c>
      <c r="F36" s="25">
        <v>822</v>
      </c>
      <c r="G36" s="7" t="s">
        <v>58</v>
      </c>
      <c r="H36" s="7"/>
    </row>
    <row r="37" spans="1:10" ht="19.5" customHeight="1" x14ac:dyDescent="0.25">
      <c r="B37" s="26" t="s">
        <v>41</v>
      </c>
      <c r="C37" s="27">
        <f>SUM(C33:C36)</f>
        <v>2297200.8600000003</v>
      </c>
      <c r="D37" s="27">
        <f>SUM(D33:D36)</f>
        <v>286397.01999999996</v>
      </c>
      <c r="E37" s="28">
        <f>D37/C37</f>
        <v>0.12467217167940635</v>
      </c>
      <c r="F37" s="29">
        <f>SUM(F33:F36)</f>
        <v>5009</v>
      </c>
      <c r="G37" s="6"/>
      <c r="H37" s="6"/>
    </row>
    <row r="39" spans="1:10" ht="21.75" customHeight="1" x14ac:dyDescent="0.25">
      <c r="A39" s="12" t="s">
        <v>59</v>
      </c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19.5" customHeight="1" x14ac:dyDescent="0.25">
      <c r="B40" s="16" t="s">
        <v>31</v>
      </c>
      <c r="C40" s="16" t="s">
        <v>60</v>
      </c>
      <c r="D40" s="16" t="s">
        <v>61</v>
      </c>
      <c r="E40" s="16" t="s">
        <v>62</v>
      </c>
      <c r="F40" s="11" t="s">
        <v>63</v>
      </c>
      <c r="G40" s="11"/>
      <c r="H40" s="11"/>
    </row>
    <row r="41" spans="1:10" ht="19.5" customHeight="1" x14ac:dyDescent="0.25">
      <c r="B41" s="17" t="s">
        <v>38</v>
      </c>
      <c r="C41" s="21">
        <v>0.1323</v>
      </c>
      <c r="D41" s="20">
        <v>452.71</v>
      </c>
      <c r="E41" s="20">
        <v>78.75</v>
      </c>
      <c r="F41" s="30" t="s">
        <v>28</v>
      </c>
      <c r="G41" s="5" t="s">
        <v>64</v>
      </c>
      <c r="H41" s="5"/>
    </row>
    <row r="42" spans="1:10" ht="19.5" customHeight="1" x14ac:dyDescent="0.25">
      <c r="B42" s="19" t="s">
        <v>39</v>
      </c>
      <c r="C42" s="24">
        <v>0.1573</v>
      </c>
      <c r="D42" s="23">
        <v>119.32</v>
      </c>
      <c r="E42" s="23">
        <v>20.329999999999998</v>
      </c>
      <c r="F42" s="31" t="s">
        <v>28</v>
      </c>
      <c r="G42" s="4" t="s">
        <v>65</v>
      </c>
      <c r="H42" s="4"/>
    </row>
    <row r="43" spans="1:10" ht="19.5" customHeight="1" x14ac:dyDescent="0.25">
      <c r="B43" s="17" t="s">
        <v>40</v>
      </c>
      <c r="C43" s="21">
        <v>0.1739</v>
      </c>
      <c r="D43" s="20">
        <v>349.83</v>
      </c>
      <c r="E43" s="20">
        <v>8.6999999999999993</v>
      </c>
      <c r="F43" s="30" t="s">
        <v>28</v>
      </c>
      <c r="G43" s="5" t="s">
        <v>66</v>
      </c>
      <c r="H43" s="5"/>
    </row>
    <row r="45" spans="1:10" ht="30" customHeight="1" x14ac:dyDescent="0.25">
      <c r="B45" s="3" t="s">
        <v>67</v>
      </c>
      <c r="C45" s="3"/>
      <c r="D45" s="3"/>
      <c r="E45" s="3"/>
      <c r="F45" s="3"/>
      <c r="G45" s="3"/>
      <c r="H45" s="3"/>
    </row>
    <row r="48" spans="1:10" ht="21.75" customHeight="1" x14ac:dyDescent="0.25">
      <c r="A48" s="12" t="s">
        <v>68</v>
      </c>
      <c r="B48" s="12"/>
      <c r="C48" s="12"/>
      <c r="D48" s="12"/>
      <c r="E48" s="12"/>
      <c r="F48" s="12"/>
      <c r="G48" s="12"/>
      <c r="H48" s="12"/>
      <c r="I48" s="12"/>
      <c r="J48" s="12"/>
    </row>
    <row r="49" spans="2:8" ht="24" customHeight="1" x14ac:dyDescent="0.25">
      <c r="B49" s="32" t="s">
        <v>69</v>
      </c>
      <c r="C49" s="17" t="s">
        <v>70</v>
      </c>
      <c r="D49" s="2" t="s">
        <v>71</v>
      </c>
      <c r="E49" s="2"/>
      <c r="F49" s="2"/>
      <c r="G49" s="2"/>
      <c r="H49" s="2"/>
    </row>
    <row r="50" spans="2:8" ht="24" customHeight="1" x14ac:dyDescent="0.25">
      <c r="B50" s="32" t="s">
        <v>72</v>
      </c>
      <c r="C50" s="19" t="s">
        <v>73</v>
      </c>
      <c r="D50" s="1" t="s">
        <v>74</v>
      </c>
      <c r="E50" s="1"/>
      <c r="F50" s="1"/>
      <c r="G50" s="1"/>
      <c r="H50" s="1"/>
    </row>
    <row r="51" spans="2:8" ht="24" customHeight="1" x14ac:dyDescent="0.25">
      <c r="B51" s="32" t="s">
        <v>75</v>
      </c>
      <c r="C51" s="17" t="s">
        <v>76</v>
      </c>
      <c r="D51" s="2" t="s">
        <v>77</v>
      </c>
      <c r="E51" s="2"/>
      <c r="F51" s="2"/>
      <c r="G51" s="2"/>
      <c r="H51" s="2"/>
    </row>
    <row r="52" spans="2:8" ht="24" customHeight="1" x14ac:dyDescent="0.25">
      <c r="B52" s="32" t="s">
        <v>78</v>
      </c>
      <c r="C52" s="19" t="s">
        <v>79</v>
      </c>
      <c r="D52" s="1" t="s">
        <v>80</v>
      </c>
      <c r="E52" s="1"/>
      <c r="F52" s="1"/>
      <c r="G52" s="1"/>
      <c r="H52" s="1"/>
    </row>
    <row r="53" spans="2:8" ht="24" customHeight="1" x14ac:dyDescent="0.25">
      <c r="B53" s="32" t="s">
        <v>81</v>
      </c>
      <c r="C53" s="17" t="s">
        <v>82</v>
      </c>
      <c r="D53" s="2" t="s">
        <v>83</v>
      </c>
      <c r="E53" s="2"/>
      <c r="F53" s="2"/>
      <c r="G53" s="2"/>
      <c r="H53" s="2"/>
    </row>
    <row r="54" spans="2:8" ht="24" customHeight="1" x14ac:dyDescent="0.25">
      <c r="B54" s="32" t="s">
        <v>84</v>
      </c>
      <c r="C54" s="19" t="s">
        <v>85</v>
      </c>
      <c r="D54" s="1" t="s">
        <v>86</v>
      </c>
      <c r="E54" s="1"/>
      <c r="F54" s="1"/>
      <c r="G54" s="1"/>
      <c r="H54" s="1"/>
    </row>
    <row r="56" spans="2:8" ht="18" customHeight="1" x14ac:dyDescent="0.25">
      <c r="B56" s="51" t="s">
        <v>168</v>
      </c>
      <c r="C56" s="51"/>
      <c r="D56" s="51"/>
      <c r="E56" s="51"/>
      <c r="F56" s="51"/>
      <c r="G56" s="51"/>
      <c r="H56" s="51"/>
    </row>
  </sheetData>
  <mergeCells count="36">
    <mergeCell ref="B56:H56"/>
    <mergeCell ref="D50:H50"/>
    <mergeCell ref="D51:H51"/>
    <mergeCell ref="D52:H52"/>
    <mergeCell ref="D53:H53"/>
    <mergeCell ref="D54:H54"/>
    <mergeCell ref="G42:H42"/>
    <mergeCell ref="G43:H43"/>
    <mergeCell ref="B45:H45"/>
    <mergeCell ref="A48:J48"/>
    <mergeCell ref="D49:H49"/>
    <mergeCell ref="G36:H36"/>
    <mergeCell ref="G37:H37"/>
    <mergeCell ref="A39:J39"/>
    <mergeCell ref="F40:H40"/>
    <mergeCell ref="G41:H41"/>
    <mergeCell ref="A31:J31"/>
    <mergeCell ref="G32:H32"/>
    <mergeCell ref="G33:H33"/>
    <mergeCell ref="G34:H34"/>
    <mergeCell ref="G35:H35"/>
    <mergeCell ref="D13:H13"/>
    <mergeCell ref="D14:H14"/>
    <mergeCell ref="D15:H15"/>
    <mergeCell ref="A17:J17"/>
    <mergeCell ref="A24:J24"/>
    <mergeCell ref="D8:H8"/>
    <mergeCell ref="D9:H9"/>
    <mergeCell ref="D10:H10"/>
    <mergeCell ref="D11:H11"/>
    <mergeCell ref="D12:H12"/>
    <mergeCell ref="B2:H2"/>
    <mergeCell ref="B3:H3"/>
    <mergeCell ref="B4:H4"/>
    <mergeCell ref="A6:J6"/>
    <mergeCell ref="D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0" customWidth="1"/>
    <col min="3" max="4" width="18" customWidth="1"/>
    <col min="5" max="5" width="16" customWidth="1"/>
    <col min="6" max="7" width="18" customWidth="1"/>
    <col min="8" max="8" width="3" customWidth="1"/>
  </cols>
  <sheetData>
    <row r="1" spans="1:7" ht="7.5" customHeight="1" x14ac:dyDescent="0.25"/>
    <row r="2" spans="1:7" ht="36" customHeight="1" x14ac:dyDescent="0.25">
      <c r="B2" s="52" t="s">
        <v>87</v>
      </c>
      <c r="C2" s="52"/>
      <c r="D2" s="52"/>
      <c r="E2" s="52"/>
      <c r="F2" s="52"/>
      <c r="G2" s="52"/>
    </row>
    <row r="3" spans="1:7" ht="7.5" customHeight="1" x14ac:dyDescent="0.25"/>
    <row r="4" spans="1:7" ht="21.75" customHeight="1" x14ac:dyDescent="0.25">
      <c r="A4" s="12" t="s">
        <v>88</v>
      </c>
      <c r="B4" s="12"/>
      <c r="C4" s="12"/>
      <c r="D4" s="12"/>
      <c r="E4" s="12"/>
      <c r="F4" s="12"/>
      <c r="G4" s="12"/>
    </row>
    <row r="5" spans="1:7" ht="19.5" customHeight="1" x14ac:dyDescent="0.25">
      <c r="B5" s="16" t="s">
        <v>89</v>
      </c>
      <c r="C5" s="16" t="s">
        <v>32</v>
      </c>
      <c r="D5" s="16" t="s">
        <v>33</v>
      </c>
      <c r="E5" s="16" t="s">
        <v>34</v>
      </c>
      <c r="F5" s="16" t="s">
        <v>35</v>
      </c>
      <c r="G5" s="16" t="s">
        <v>90</v>
      </c>
    </row>
    <row r="6" spans="1:7" ht="19.5" customHeight="1" x14ac:dyDescent="0.25">
      <c r="B6" s="33">
        <v>2014</v>
      </c>
      <c r="C6" s="20">
        <v>484247.5</v>
      </c>
      <c r="D6" s="20">
        <v>49543.97</v>
      </c>
      <c r="E6" s="21">
        <f>D6/C6</f>
        <v>0.10231125612419269</v>
      </c>
      <c r="F6" s="22">
        <v>969</v>
      </c>
      <c r="G6" s="30" t="s">
        <v>91</v>
      </c>
    </row>
    <row r="7" spans="1:7" ht="19.5" customHeight="1" x14ac:dyDescent="0.25">
      <c r="B7" s="34">
        <v>2015</v>
      </c>
      <c r="C7" s="23">
        <v>470532.51</v>
      </c>
      <c r="D7" s="23">
        <v>61618.6</v>
      </c>
      <c r="E7" s="24">
        <f>D7/C7</f>
        <v>0.1309550322038322</v>
      </c>
      <c r="F7" s="25">
        <v>1038</v>
      </c>
      <c r="G7" s="24">
        <f>(C7-C6)/C6</f>
        <v>-2.8322273217724389E-2</v>
      </c>
    </row>
    <row r="8" spans="1:7" ht="19.5" customHeight="1" x14ac:dyDescent="0.25">
      <c r="B8" s="33">
        <v>2016</v>
      </c>
      <c r="C8" s="20">
        <v>609205.6</v>
      </c>
      <c r="D8" s="20">
        <v>81795.17</v>
      </c>
      <c r="E8" s="21">
        <f>D8/C8</f>
        <v>0.13426529565716402</v>
      </c>
      <c r="F8" s="22">
        <v>1315</v>
      </c>
      <c r="G8" s="21">
        <f>(C8-C7)/C7</f>
        <v>0.29471521532061612</v>
      </c>
    </row>
    <row r="9" spans="1:7" ht="19.5" customHeight="1" x14ac:dyDescent="0.25">
      <c r="B9" s="34">
        <v>2017</v>
      </c>
      <c r="C9" s="23">
        <v>733215.26</v>
      </c>
      <c r="D9" s="23">
        <v>93439.27</v>
      </c>
      <c r="E9" s="24">
        <f>D9/C9</f>
        <v>0.12743770499266477</v>
      </c>
      <c r="F9" s="25">
        <v>1687</v>
      </c>
      <c r="G9" s="24">
        <f>(C9-C8)/C8</f>
        <v>0.20355961928124108</v>
      </c>
    </row>
    <row r="12" spans="1:7" ht="21.75" customHeight="1" x14ac:dyDescent="0.25">
      <c r="A12" s="12" t="s">
        <v>92</v>
      </c>
      <c r="B12" s="12"/>
      <c r="C12" s="12"/>
      <c r="D12" s="12"/>
      <c r="E12" s="12"/>
      <c r="F12" s="12"/>
      <c r="G12" s="12"/>
    </row>
    <row r="13" spans="1:7" ht="19.5" customHeight="1" x14ac:dyDescent="0.25">
      <c r="B13" s="16" t="s">
        <v>93</v>
      </c>
      <c r="C13" s="16" t="s">
        <v>94</v>
      </c>
      <c r="D13" s="16" t="s">
        <v>32</v>
      </c>
      <c r="E13" s="16" t="s">
        <v>33</v>
      </c>
      <c r="F13" s="16" t="s">
        <v>34</v>
      </c>
      <c r="G13" s="16" t="s">
        <v>95</v>
      </c>
    </row>
    <row r="14" spans="1:7" ht="18" customHeight="1" x14ac:dyDescent="0.25">
      <c r="B14" s="35">
        <v>2014</v>
      </c>
      <c r="C14" s="30" t="s">
        <v>96</v>
      </c>
      <c r="D14" s="20">
        <v>74447.8</v>
      </c>
      <c r="E14" s="20">
        <v>3811.23</v>
      </c>
      <c r="F14" s="21">
        <f t="shared" ref="F14:F29" si="0">E14/D14</f>
        <v>5.1193319345904105E-2</v>
      </c>
      <c r="G14" s="30" t="s">
        <v>91</v>
      </c>
    </row>
    <row r="15" spans="1:7" ht="18" customHeight="1" x14ac:dyDescent="0.25">
      <c r="B15" s="36">
        <v>2014</v>
      </c>
      <c r="C15" s="31" t="s">
        <v>97</v>
      </c>
      <c r="D15" s="23">
        <v>86538.76</v>
      </c>
      <c r="E15" s="23">
        <v>11204.07</v>
      </c>
      <c r="F15" s="24">
        <f t="shared" si="0"/>
        <v>0.12946880680980408</v>
      </c>
      <c r="G15" s="24">
        <f t="shared" ref="G15:G29" si="1">(D15-D14)/D14</f>
        <v>0.16240856009176888</v>
      </c>
    </row>
    <row r="16" spans="1:7" ht="18" customHeight="1" x14ac:dyDescent="0.25">
      <c r="B16" s="35">
        <v>2014</v>
      </c>
      <c r="C16" s="30" t="s">
        <v>98</v>
      </c>
      <c r="D16" s="20">
        <v>143633.21</v>
      </c>
      <c r="E16" s="20">
        <v>12804.72</v>
      </c>
      <c r="F16" s="21">
        <f t="shared" si="0"/>
        <v>8.9148742132825684E-2</v>
      </c>
      <c r="G16" s="21">
        <f t="shared" si="1"/>
        <v>0.65975581346439449</v>
      </c>
    </row>
    <row r="17" spans="2:7" ht="18" customHeight="1" x14ac:dyDescent="0.25">
      <c r="B17" s="37">
        <v>2014</v>
      </c>
      <c r="C17" s="38" t="s">
        <v>99</v>
      </c>
      <c r="D17" s="39">
        <v>179627.73</v>
      </c>
      <c r="E17" s="39">
        <v>21723.95</v>
      </c>
      <c r="F17" s="40">
        <f t="shared" si="0"/>
        <v>0.12093873256651409</v>
      </c>
      <c r="G17" s="40">
        <f t="shared" si="1"/>
        <v>0.25060026159688292</v>
      </c>
    </row>
    <row r="18" spans="2:7" ht="18" customHeight="1" x14ac:dyDescent="0.25">
      <c r="B18" s="35">
        <v>2015</v>
      </c>
      <c r="C18" s="30" t="s">
        <v>96</v>
      </c>
      <c r="D18" s="20">
        <v>68851.740000000005</v>
      </c>
      <c r="E18" s="20">
        <v>9264.94</v>
      </c>
      <c r="F18" s="21">
        <f t="shared" si="0"/>
        <v>0.13456362903827848</v>
      </c>
      <c r="G18" s="21">
        <f t="shared" si="1"/>
        <v>-0.61669760008657903</v>
      </c>
    </row>
    <row r="19" spans="2:7" ht="18" customHeight="1" x14ac:dyDescent="0.25">
      <c r="B19" s="36">
        <v>2015</v>
      </c>
      <c r="C19" s="31" t="s">
        <v>97</v>
      </c>
      <c r="D19" s="23">
        <v>89124.19</v>
      </c>
      <c r="E19" s="23">
        <v>12190.92</v>
      </c>
      <c r="F19" s="24">
        <f t="shared" si="0"/>
        <v>0.13678575928712508</v>
      </c>
      <c r="G19" s="24">
        <f t="shared" si="1"/>
        <v>0.29443627713693216</v>
      </c>
    </row>
    <row r="20" spans="2:7" ht="18" customHeight="1" x14ac:dyDescent="0.25">
      <c r="B20" s="35">
        <v>2015</v>
      </c>
      <c r="C20" s="30" t="s">
        <v>98</v>
      </c>
      <c r="D20" s="20">
        <v>130259.58</v>
      </c>
      <c r="E20" s="20">
        <v>16853.62</v>
      </c>
      <c r="F20" s="21">
        <f t="shared" si="0"/>
        <v>0.12938487902386911</v>
      </c>
      <c r="G20" s="21">
        <f t="shared" si="1"/>
        <v>0.46155134761954075</v>
      </c>
    </row>
    <row r="21" spans="2:7" ht="18" customHeight="1" x14ac:dyDescent="0.25">
      <c r="B21" s="37">
        <v>2015</v>
      </c>
      <c r="C21" s="38" t="s">
        <v>99</v>
      </c>
      <c r="D21" s="39">
        <v>182297.01</v>
      </c>
      <c r="E21" s="39">
        <v>23309.119999999999</v>
      </c>
      <c r="F21" s="40">
        <f t="shared" si="0"/>
        <v>0.12786342463872555</v>
      </c>
      <c r="G21" s="40">
        <f t="shared" si="1"/>
        <v>0.39949023327113453</v>
      </c>
    </row>
    <row r="22" spans="2:7" ht="18" customHeight="1" x14ac:dyDescent="0.25">
      <c r="B22" s="35">
        <v>2016</v>
      </c>
      <c r="C22" s="30" t="s">
        <v>96</v>
      </c>
      <c r="D22" s="20">
        <v>93237.18</v>
      </c>
      <c r="E22" s="20">
        <v>11441.37</v>
      </c>
      <c r="F22" s="21">
        <f t="shared" si="0"/>
        <v>0.12271252734156055</v>
      </c>
      <c r="G22" s="21">
        <f t="shared" si="1"/>
        <v>-0.48854246155765257</v>
      </c>
    </row>
    <row r="23" spans="2:7" ht="18" customHeight="1" x14ac:dyDescent="0.25">
      <c r="B23" s="36">
        <v>2016</v>
      </c>
      <c r="C23" s="31" t="s">
        <v>97</v>
      </c>
      <c r="D23" s="23">
        <v>136082.29999999999</v>
      </c>
      <c r="E23" s="23">
        <v>16390.34</v>
      </c>
      <c r="F23" s="24">
        <f t="shared" si="0"/>
        <v>0.12044431935674221</v>
      </c>
      <c r="G23" s="24">
        <f t="shared" si="1"/>
        <v>0.45952826973102362</v>
      </c>
    </row>
    <row r="24" spans="2:7" ht="18" customHeight="1" x14ac:dyDescent="0.25">
      <c r="B24" s="35">
        <v>2016</v>
      </c>
      <c r="C24" s="30" t="s">
        <v>98</v>
      </c>
      <c r="D24" s="20">
        <v>143787.35999999999</v>
      </c>
      <c r="E24" s="20">
        <v>15823.6</v>
      </c>
      <c r="F24" s="21">
        <f t="shared" si="0"/>
        <v>0.11004861623441728</v>
      </c>
      <c r="G24" s="21">
        <f t="shared" si="1"/>
        <v>5.6620589158178532E-2</v>
      </c>
    </row>
    <row r="25" spans="2:7" ht="18" customHeight="1" x14ac:dyDescent="0.25">
      <c r="B25" s="37">
        <v>2016</v>
      </c>
      <c r="C25" s="38" t="s">
        <v>99</v>
      </c>
      <c r="D25" s="39">
        <v>236098.75</v>
      </c>
      <c r="E25" s="39">
        <v>38139.86</v>
      </c>
      <c r="F25" s="40">
        <f t="shared" si="0"/>
        <v>0.16154198190375849</v>
      </c>
      <c r="G25" s="40">
        <f t="shared" si="1"/>
        <v>0.64199933846758173</v>
      </c>
    </row>
    <row r="26" spans="2:7" ht="18" customHeight="1" x14ac:dyDescent="0.25">
      <c r="B26" s="35">
        <v>2017</v>
      </c>
      <c r="C26" s="30" t="s">
        <v>96</v>
      </c>
      <c r="D26" s="20">
        <v>123144.86</v>
      </c>
      <c r="E26" s="20">
        <v>23506.2</v>
      </c>
      <c r="F26" s="21">
        <f t="shared" si="0"/>
        <v>0.19088251024037869</v>
      </c>
      <c r="G26" s="21">
        <f t="shared" si="1"/>
        <v>-0.47841799247137057</v>
      </c>
    </row>
    <row r="27" spans="2:7" ht="18" customHeight="1" x14ac:dyDescent="0.25">
      <c r="B27" s="36">
        <v>2017</v>
      </c>
      <c r="C27" s="31" t="s">
        <v>97</v>
      </c>
      <c r="D27" s="23">
        <v>133764.37</v>
      </c>
      <c r="E27" s="23">
        <v>15499.21</v>
      </c>
      <c r="F27" s="24">
        <f t="shared" si="0"/>
        <v>0.11586949499332296</v>
      </c>
      <c r="G27" s="24">
        <f t="shared" si="1"/>
        <v>8.623591760143294E-2</v>
      </c>
    </row>
    <row r="28" spans="2:7" ht="18" customHeight="1" x14ac:dyDescent="0.25">
      <c r="B28" s="35">
        <v>2017</v>
      </c>
      <c r="C28" s="30" t="s">
        <v>98</v>
      </c>
      <c r="D28" s="20">
        <v>196251.96</v>
      </c>
      <c r="E28" s="20">
        <v>26985.13</v>
      </c>
      <c r="F28" s="21">
        <f t="shared" si="0"/>
        <v>0.13750247386064324</v>
      </c>
      <c r="G28" s="21">
        <f t="shared" si="1"/>
        <v>0.46714674468245915</v>
      </c>
    </row>
    <row r="29" spans="2:7" ht="18" customHeight="1" x14ac:dyDescent="0.25">
      <c r="B29" s="37">
        <v>2017</v>
      </c>
      <c r="C29" s="38" t="s">
        <v>99</v>
      </c>
      <c r="D29" s="39">
        <v>280054.07</v>
      </c>
      <c r="E29" s="39">
        <v>27448.73</v>
      </c>
      <c r="F29" s="40">
        <f t="shared" si="0"/>
        <v>9.8012251705536721E-2</v>
      </c>
      <c r="G29" s="40">
        <f t="shared" si="1"/>
        <v>0.42701285633019931</v>
      </c>
    </row>
    <row r="31" spans="2:7" ht="24" customHeight="1" x14ac:dyDescent="0.25">
      <c r="B31" s="53" t="s">
        <v>100</v>
      </c>
      <c r="C31" s="53"/>
      <c r="D31" s="53"/>
      <c r="E31" s="53"/>
      <c r="F31" s="53"/>
      <c r="G31" s="53"/>
    </row>
  </sheetData>
  <mergeCells count="4">
    <mergeCell ref="B2:G2"/>
    <mergeCell ref="A4:G4"/>
    <mergeCell ref="A12:G12"/>
    <mergeCell ref="B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3" width="22" customWidth="1"/>
    <col min="4" max="5" width="18" customWidth="1"/>
    <col min="6" max="6" width="16" customWidth="1"/>
    <col min="7" max="7" width="18" customWidth="1"/>
    <col min="8" max="8" width="3" customWidth="1"/>
  </cols>
  <sheetData>
    <row r="1" spans="1:7" ht="7.5" customHeight="1" x14ac:dyDescent="0.25"/>
    <row r="2" spans="1:7" ht="36" customHeight="1" x14ac:dyDescent="0.25">
      <c r="B2" s="52" t="s">
        <v>101</v>
      </c>
      <c r="C2" s="52"/>
      <c r="D2" s="52"/>
      <c r="E2" s="52"/>
      <c r="F2" s="52"/>
      <c r="G2" s="52"/>
    </row>
    <row r="3" spans="1:7" ht="7.5" customHeight="1" x14ac:dyDescent="0.25"/>
    <row r="4" spans="1:7" ht="21.75" customHeight="1" x14ac:dyDescent="0.25">
      <c r="A4" s="12" t="s">
        <v>102</v>
      </c>
      <c r="B4" s="12"/>
      <c r="C4" s="12"/>
      <c r="D4" s="12"/>
      <c r="E4" s="12"/>
      <c r="F4" s="12"/>
      <c r="G4" s="12"/>
    </row>
    <row r="5" spans="1:7" ht="19.5" customHeight="1" x14ac:dyDescent="0.25">
      <c r="B5" s="16" t="s">
        <v>31</v>
      </c>
      <c r="C5" s="16" t="s">
        <v>103</v>
      </c>
      <c r="D5" s="16" t="s">
        <v>32</v>
      </c>
      <c r="E5" s="16" t="s">
        <v>33</v>
      </c>
      <c r="F5" s="16" t="s">
        <v>104</v>
      </c>
      <c r="G5" s="16" t="s">
        <v>105</v>
      </c>
    </row>
    <row r="6" spans="1:7" ht="18" customHeight="1" x14ac:dyDescent="0.25">
      <c r="B6" s="17" t="s">
        <v>38</v>
      </c>
      <c r="C6" s="17" t="s">
        <v>106</v>
      </c>
      <c r="D6" s="20">
        <v>330007.05</v>
      </c>
      <c r="E6" s="20">
        <v>44515.73</v>
      </c>
      <c r="F6" s="21">
        <f t="shared" ref="F6:F22" si="0">E6/D6</f>
        <v>0.13489326970438967</v>
      </c>
      <c r="G6" s="22" t="s">
        <v>107</v>
      </c>
    </row>
    <row r="7" spans="1:7" ht="18" customHeight="1" x14ac:dyDescent="0.25">
      <c r="B7" s="19" t="s">
        <v>40</v>
      </c>
      <c r="C7" s="19" t="s">
        <v>108</v>
      </c>
      <c r="D7" s="23">
        <v>328449.09999999998</v>
      </c>
      <c r="E7" s="23">
        <v>26590.17</v>
      </c>
      <c r="F7" s="24">
        <f t="shared" si="0"/>
        <v>8.0956744895936697E-2</v>
      </c>
      <c r="G7" s="25" t="s">
        <v>109</v>
      </c>
    </row>
    <row r="8" spans="1:7" ht="18" customHeight="1" x14ac:dyDescent="0.25">
      <c r="B8" s="17" t="s">
        <v>39</v>
      </c>
      <c r="C8" s="17" t="s">
        <v>110</v>
      </c>
      <c r="D8" s="20">
        <v>223843.61</v>
      </c>
      <c r="E8" s="20">
        <v>21278.83</v>
      </c>
      <c r="F8" s="21">
        <f t="shared" si="0"/>
        <v>9.5061145591781707E-2</v>
      </c>
      <c r="G8" s="22" t="s">
        <v>111</v>
      </c>
    </row>
    <row r="9" spans="1:7" ht="18" customHeight="1" x14ac:dyDescent="0.25">
      <c r="B9" s="41" t="s">
        <v>40</v>
      </c>
      <c r="C9" s="41" t="s">
        <v>112</v>
      </c>
      <c r="D9" s="42">
        <v>206965.53</v>
      </c>
      <c r="E9" s="42">
        <v>-17725.48</v>
      </c>
      <c r="F9" s="43">
        <f t="shared" si="0"/>
        <v>-8.564459985196568E-2</v>
      </c>
      <c r="G9" s="44" t="s">
        <v>113</v>
      </c>
    </row>
    <row r="10" spans="1:7" ht="18" customHeight="1" x14ac:dyDescent="0.25">
      <c r="B10" s="17" t="s">
        <v>39</v>
      </c>
      <c r="C10" s="17" t="s">
        <v>114</v>
      </c>
      <c r="D10" s="20">
        <v>203412.73</v>
      </c>
      <c r="E10" s="20">
        <v>30221.759999999998</v>
      </c>
      <c r="F10" s="21">
        <f t="shared" si="0"/>
        <v>0.14857359222306291</v>
      </c>
      <c r="G10" s="22" t="s">
        <v>115</v>
      </c>
    </row>
    <row r="11" spans="1:7" ht="18" customHeight="1" x14ac:dyDescent="0.25">
      <c r="B11" s="19" t="s">
        <v>38</v>
      </c>
      <c r="C11" s="19" t="s">
        <v>116</v>
      </c>
      <c r="D11" s="23">
        <v>189238.63</v>
      </c>
      <c r="E11" s="23">
        <v>3384.76</v>
      </c>
      <c r="F11" s="24">
        <f t="shared" si="0"/>
        <v>1.7886200085046062E-2</v>
      </c>
      <c r="G11" s="25" t="s">
        <v>117</v>
      </c>
    </row>
    <row r="12" spans="1:7" ht="18" customHeight="1" x14ac:dyDescent="0.25">
      <c r="B12" s="17" t="s">
        <v>38</v>
      </c>
      <c r="C12" s="17" t="s">
        <v>118</v>
      </c>
      <c r="D12" s="20">
        <v>167380.32</v>
      </c>
      <c r="E12" s="20">
        <v>41936.639999999999</v>
      </c>
      <c r="F12" s="21">
        <f t="shared" si="0"/>
        <v>0.25054701771391041</v>
      </c>
      <c r="G12" s="22" t="s">
        <v>119</v>
      </c>
    </row>
    <row r="13" spans="1:7" ht="18" customHeight="1" x14ac:dyDescent="0.25">
      <c r="B13" s="19" t="s">
        <v>38</v>
      </c>
      <c r="C13" s="19" t="s">
        <v>120</v>
      </c>
      <c r="D13" s="23">
        <v>149528.03</v>
      </c>
      <c r="E13" s="23">
        <v>55617.82</v>
      </c>
      <c r="F13" s="24">
        <f t="shared" si="0"/>
        <v>0.37195581323448185</v>
      </c>
      <c r="G13" s="25" t="s">
        <v>121</v>
      </c>
    </row>
    <row r="14" spans="1:7" ht="18" customHeight="1" x14ac:dyDescent="0.25">
      <c r="B14" s="41" t="s">
        <v>40</v>
      </c>
      <c r="C14" s="41" t="s">
        <v>122</v>
      </c>
      <c r="D14" s="42">
        <v>114879.1</v>
      </c>
      <c r="E14" s="42">
        <v>-3472.56</v>
      </c>
      <c r="F14" s="43">
        <f t="shared" si="0"/>
        <v>-3.0227952691133545E-2</v>
      </c>
      <c r="G14" s="44" t="s">
        <v>113</v>
      </c>
    </row>
    <row r="15" spans="1:7" ht="18" customHeight="1" x14ac:dyDescent="0.25">
      <c r="B15" s="19" t="s">
        <v>39</v>
      </c>
      <c r="C15" s="19" t="s">
        <v>123</v>
      </c>
      <c r="D15" s="23">
        <v>107532.16</v>
      </c>
      <c r="E15" s="23">
        <v>18138.009999999998</v>
      </c>
      <c r="F15" s="24">
        <f t="shared" si="0"/>
        <v>0.16867521307114075</v>
      </c>
      <c r="G15" s="25" t="s">
        <v>124</v>
      </c>
    </row>
    <row r="16" spans="1:7" ht="18" customHeight="1" x14ac:dyDescent="0.25">
      <c r="B16" s="17" t="s">
        <v>40</v>
      </c>
      <c r="C16" s="17" t="s">
        <v>125</v>
      </c>
      <c r="D16" s="20">
        <v>91705.16</v>
      </c>
      <c r="E16" s="20">
        <v>13059.14</v>
      </c>
      <c r="F16" s="21">
        <f t="shared" si="0"/>
        <v>0.14240354632171187</v>
      </c>
      <c r="G16" s="22" t="s">
        <v>126</v>
      </c>
    </row>
    <row r="17" spans="2:7" ht="18" customHeight="1" x14ac:dyDescent="0.25">
      <c r="B17" s="19" t="s">
        <v>39</v>
      </c>
      <c r="C17" s="19" t="s">
        <v>127</v>
      </c>
      <c r="D17" s="23">
        <v>78479.210000000006</v>
      </c>
      <c r="E17" s="23">
        <v>34053.57</v>
      </c>
      <c r="F17" s="24">
        <f t="shared" si="0"/>
        <v>0.43391835876023721</v>
      </c>
      <c r="G17" s="25" t="s">
        <v>119</v>
      </c>
    </row>
    <row r="18" spans="2:7" ht="18" customHeight="1" x14ac:dyDescent="0.25">
      <c r="B18" s="41" t="s">
        <v>39</v>
      </c>
      <c r="C18" s="41" t="s">
        <v>128</v>
      </c>
      <c r="D18" s="42">
        <v>46673.54</v>
      </c>
      <c r="E18" s="42">
        <v>-1189.0999999999999</v>
      </c>
      <c r="F18" s="43">
        <f t="shared" si="0"/>
        <v>-2.5476961893184016E-2</v>
      </c>
      <c r="G18" s="44" t="s">
        <v>113</v>
      </c>
    </row>
    <row r="19" spans="2:7" ht="18" customHeight="1" x14ac:dyDescent="0.25">
      <c r="B19" s="19" t="s">
        <v>39</v>
      </c>
      <c r="C19" s="19" t="s">
        <v>129</v>
      </c>
      <c r="D19" s="23">
        <v>27118.79</v>
      </c>
      <c r="E19" s="23">
        <v>6527.79</v>
      </c>
      <c r="F19" s="24">
        <f t="shared" si="0"/>
        <v>0.24071096092414151</v>
      </c>
      <c r="G19" s="25" t="s">
        <v>130</v>
      </c>
    </row>
    <row r="20" spans="2:7" ht="18" customHeight="1" x14ac:dyDescent="0.25">
      <c r="B20" s="17" t="s">
        <v>39</v>
      </c>
      <c r="C20" s="17" t="s">
        <v>131</v>
      </c>
      <c r="D20" s="20">
        <v>16476.400000000001</v>
      </c>
      <c r="E20" s="20">
        <v>6964.18</v>
      </c>
      <c r="F20" s="21">
        <f t="shared" si="0"/>
        <v>0.42267607001529456</v>
      </c>
      <c r="G20" s="22" t="s">
        <v>132</v>
      </c>
    </row>
    <row r="21" spans="2:7" ht="18" customHeight="1" x14ac:dyDescent="0.25">
      <c r="B21" s="19" t="s">
        <v>39</v>
      </c>
      <c r="C21" s="19" t="s">
        <v>133</v>
      </c>
      <c r="D21" s="23">
        <v>12486.31</v>
      </c>
      <c r="E21" s="23">
        <v>5546.25</v>
      </c>
      <c r="F21" s="24">
        <f t="shared" si="0"/>
        <v>0.44418647302525727</v>
      </c>
      <c r="G21" s="25" t="s">
        <v>134</v>
      </c>
    </row>
    <row r="22" spans="2:7" ht="18" customHeight="1" x14ac:dyDescent="0.25">
      <c r="B22" s="17" t="s">
        <v>39</v>
      </c>
      <c r="C22" s="17" t="s">
        <v>135</v>
      </c>
      <c r="D22" s="20">
        <v>3024.28</v>
      </c>
      <c r="E22" s="20">
        <v>949.52</v>
      </c>
      <c r="F22" s="21">
        <f t="shared" si="0"/>
        <v>0.31396563810229211</v>
      </c>
      <c r="G22" s="22" t="s">
        <v>136</v>
      </c>
    </row>
    <row r="24" spans="2:7" ht="30" customHeight="1" x14ac:dyDescent="0.25">
      <c r="B24" s="54" t="s">
        <v>137</v>
      </c>
      <c r="C24" s="54"/>
      <c r="D24" s="54"/>
      <c r="E24" s="54"/>
      <c r="F24" s="54"/>
      <c r="G24" s="54"/>
    </row>
  </sheetData>
  <mergeCells count="3">
    <mergeCell ref="B2:G2"/>
    <mergeCell ref="A4:G4"/>
    <mergeCell ref="B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55" customWidth="1"/>
    <col min="3" max="4" width="18" customWidth="1"/>
    <col min="5" max="5" width="12" customWidth="1"/>
    <col min="6" max="6" width="18" customWidth="1"/>
    <col min="7" max="7" width="3" customWidth="1"/>
  </cols>
  <sheetData>
    <row r="1" spans="1:6" ht="7.5" customHeight="1" x14ac:dyDescent="0.25"/>
    <row r="2" spans="1:6" ht="36" customHeight="1" x14ac:dyDescent="0.25">
      <c r="B2" s="52" t="s">
        <v>138</v>
      </c>
      <c r="C2" s="52"/>
      <c r="D2" s="52"/>
      <c r="E2" s="52"/>
      <c r="F2" s="52"/>
    </row>
    <row r="3" spans="1:6" ht="7.5" customHeight="1" x14ac:dyDescent="0.25"/>
    <row r="4" spans="1:6" ht="21.75" customHeight="1" x14ac:dyDescent="0.25">
      <c r="A4" s="12" t="s">
        <v>139</v>
      </c>
      <c r="B4" s="12"/>
      <c r="C4" s="12"/>
      <c r="D4" s="12"/>
      <c r="E4" s="12"/>
      <c r="F4" s="12"/>
    </row>
    <row r="5" spans="1:6" ht="19.5" customHeight="1" x14ac:dyDescent="0.25">
      <c r="B5" s="16" t="s">
        <v>140</v>
      </c>
      <c r="C5" s="16" t="s">
        <v>32</v>
      </c>
      <c r="D5" s="16" t="s">
        <v>33</v>
      </c>
      <c r="E5" s="16" t="s">
        <v>36</v>
      </c>
      <c r="F5" s="16" t="s">
        <v>34</v>
      </c>
    </row>
    <row r="6" spans="1:6" ht="27.75" customHeight="1" x14ac:dyDescent="0.25">
      <c r="B6" s="45" t="s">
        <v>141</v>
      </c>
      <c r="C6" s="46">
        <v>61599.82</v>
      </c>
      <c r="D6" s="46">
        <v>25199.93</v>
      </c>
      <c r="E6" s="47">
        <v>20</v>
      </c>
      <c r="F6" s="48">
        <f t="shared" ref="F6:F15" si="0">D6/C6</f>
        <v>0.40909096812295881</v>
      </c>
    </row>
    <row r="7" spans="1:6" ht="27.75" customHeight="1" x14ac:dyDescent="0.25">
      <c r="B7" s="49" t="s">
        <v>142</v>
      </c>
      <c r="C7" s="23">
        <v>27453.38</v>
      </c>
      <c r="D7" s="23">
        <v>7753.04</v>
      </c>
      <c r="E7" s="25">
        <v>31</v>
      </c>
      <c r="F7" s="24">
        <f t="shared" si="0"/>
        <v>0.28240748497999152</v>
      </c>
    </row>
    <row r="8" spans="1:6" ht="27.75" customHeight="1" x14ac:dyDescent="0.25">
      <c r="B8" s="50" t="s">
        <v>143</v>
      </c>
      <c r="C8" s="20">
        <v>22638.48</v>
      </c>
      <c r="D8" s="20">
        <v>-1811.08</v>
      </c>
      <c r="E8" s="22">
        <v>6</v>
      </c>
      <c r="F8" s="21">
        <f t="shared" si="0"/>
        <v>-8.0000070676123136E-2</v>
      </c>
    </row>
    <row r="9" spans="1:6" ht="27.75" customHeight="1" x14ac:dyDescent="0.25">
      <c r="B9" s="49" t="s">
        <v>144</v>
      </c>
      <c r="C9" s="23">
        <v>21870.58</v>
      </c>
      <c r="D9" s="23">
        <v>0</v>
      </c>
      <c r="E9" s="25">
        <v>39</v>
      </c>
      <c r="F9" s="24">
        <f t="shared" si="0"/>
        <v>0</v>
      </c>
    </row>
    <row r="10" spans="1:6" ht="27.75" customHeight="1" x14ac:dyDescent="0.25">
      <c r="B10" s="50" t="s">
        <v>145</v>
      </c>
      <c r="C10" s="20">
        <v>19823.48</v>
      </c>
      <c r="D10" s="20">
        <v>2233.5100000000002</v>
      </c>
      <c r="E10" s="22">
        <v>37</v>
      </c>
      <c r="F10" s="21">
        <f t="shared" si="0"/>
        <v>0.11266992475589555</v>
      </c>
    </row>
    <row r="11" spans="1:6" ht="27.75" customHeight="1" x14ac:dyDescent="0.25">
      <c r="B11" s="49" t="s">
        <v>146</v>
      </c>
      <c r="C11" s="23">
        <v>19024.5</v>
      </c>
      <c r="D11" s="23">
        <v>760.98</v>
      </c>
      <c r="E11" s="25">
        <v>48</v>
      </c>
      <c r="F11" s="24">
        <f t="shared" si="0"/>
        <v>0.04</v>
      </c>
    </row>
    <row r="12" spans="1:6" ht="27.75" customHeight="1" x14ac:dyDescent="0.25">
      <c r="B12" s="50" t="s">
        <v>147</v>
      </c>
      <c r="C12" s="20">
        <v>18839.689999999999</v>
      </c>
      <c r="D12" s="20">
        <v>6983.88</v>
      </c>
      <c r="E12" s="22">
        <v>38</v>
      </c>
      <c r="F12" s="21">
        <f t="shared" si="0"/>
        <v>0.37070036715041493</v>
      </c>
    </row>
    <row r="13" spans="1:6" ht="27.75" customHeight="1" x14ac:dyDescent="0.25">
      <c r="B13" s="49" t="s">
        <v>148</v>
      </c>
      <c r="C13" s="23">
        <v>18374.900000000001</v>
      </c>
      <c r="D13" s="23">
        <v>4094.98</v>
      </c>
      <c r="E13" s="25">
        <v>12</v>
      </c>
      <c r="F13" s="24">
        <f t="shared" si="0"/>
        <v>0.222857267250434</v>
      </c>
    </row>
    <row r="14" spans="1:6" ht="27.75" customHeight="1" x14ac:dyDescent="0.25">
      <c r="B14" s="50" t="s">
        <v>149</v>
      </c>
      <c r="C14" s="20">
        <v>17965.07</v>
      </c>
      <c r="D14" s="20">
        <v>-1878.17</v>
      </c>
      <c r="E14" s="22">
        <v>27</v>
      </c>
      <c r="F14" s="21">
        <f t="shared" si="0"/>
        <v>-0.10454565442828778</v>
      </c>
    </row>
    <row r="15" spans="1:6" ht="27.75" customHeight="1" x14ac:dyDescent="0.25">
      <c r="B15" s="49" t="s">
        <v>150</v>
      </c>
      <c r="C15" s="23">
        <v>17030.310000000001</v>
      </c>
      <c r="D15" s="23">
        <v>-262</v>
      </c>
      <c r="E15" s="25">
        <v>11</v>
      </c>
      <c r="F15" s="24">
        <f t="shared" si="0"/>
        <v>-1.5384335340930375E-2</v>
      </c>
    </row>
    <row r="17" spans="1:6" ht="21.75" customHeight="1" x14ac:dyDescent="0.25">
      <c r="A17" s="12" t="s">
        <v>151</v>
      </c>
      <c r="B17" s="12"/>
      <c r="C17" s="12"/>
      <c r="D17" s="12"/>
      <c r="E17" s="12"/>
      <c r="F17" s="12"/>
    </row>
    <row r="18" spans="1:6" ht="19.5" customHeight="1" x14ac:dyDescent="0.25">
      <c r="B18" s="16" t="s">
        <v>140</v>
      </c>
      <c r="C18" s="16" t="s">
        <v>32</v>
      </c>
      <c r="D18" s="16" t="s">
        <v>33</v>
      </c>
      <c r="E18" s="16" t="s">
        <v>36</v>
      </c>
      <c r="F18" s="16" t="s">
        <v>152</v>
      </c>
    </row>
    <row r="19" spans="1:6" ht="24" customHeight="1" x14ac:dyDescent="0.25">
      <c r="B19" s="50" t="s">
        <v>153</v>
      </c>
      <c r="C19" s="20">
        <v>2</v>
      </c>
      <c r="D19" s="20">
        <v>0.5</v>
      </c>
      <c r="E19" s="22">
        <v>1</v>
      </c>
      <c r="F19" s="30" t="s">
        <v>154</v>
      </c>
    </row>
    <row r="20" spans="1:6" ht="24" customHeight="1" x14ac:dyDescent="0.25">
      <c r="B20" s="49" t="s">
        <v>155</v>
      </c>
      <c r="C20" s="23">
        <v>3</v>
      </c>
      <c r="D20" s="23">
        <v>0.79</v>
      </c>
      <c r="E20" s="25">
        <v>2</v>
      </c>
      <c r="F20" s="31" t="s">
        <v>154</v>
      </c>
    </row>
    <row r="21" spans="1:6" ht="24" customHeight="1" x14ac:dyDescent="0.25">
      <c r="B21" s="50" t="s">
        <v>156</v>
      </c>
      <c r="C21" s="20">
        <v>3.24</v>
      </c>
      <c r="D21" s="20">
        <v>1.46</v>
      </c>
      <c r="E21" s="22">
        <v>2</v>
      </c>
      <c r="F21" s="30" t="s">
        <v>154</v>
      </c>
    </row>
    <row r="22" spans="1:6" ht="24" customHeight="1" x14ac:dyDescent="0.25">
      <c r="B22" s="49" t="s">
        <v>157</v>
      </c>
      <c r="C22" s="23">
        <v>3.28</v>
      </c>
      <c r="D22" s="23">
        <v>0.98</v>
      </c>
      <c r="E22" s="25">
        <v>2</v>
      </c>
      <c r="F22" s="31" t="s">
        <v>154</v>
      </c>
    </row>
    <row r="23" spans="1:6" ht="24" customHeight="1" x14ac:dyDescent="0.25">
      <c r="B23" s="50" t="s">
        <v>158</v>
      </c>
      <c r="C23" s="20">
        <v>3.64</v>
      </c>
      <c r="D23" s="20">
        <v>-0.23</v>
      </c>
      <c r="E23" s="22">
        <v>1</v>
      </c>
      <c r="F23" s="30" t="s">
        <v>159</v>
      </c>
    </row>
    <row r="24" spans="1:6" ht="24" customHeight="1" x14ac:dyDescent="0.25">
      <c r="B24" s="49" t="s">
        <v>160</v>
      </c>
      <c r="C24" s="23">
        <v>4</v>
      </c>
      <c r="D24" s="23">
        <v>0.69</v>
      </c>
      <c r="E24" s="25">
        <v>1</v>
      </c>
      <c r="F24" s="31" t="s">
        <v>154</v>
      </c>
    </row>
    <row r="25" spans="1:6" ht="24" customHeight="1" x14ac:dyDescent="0.25">
      <c r="B25" s="50" t="s">
        <v>161</v>
      </c>
      <c r="C25" s="20">
        <v>5</v>
      </c>
      <c r="D25" s="20">
        <v>1.9</v>
      </c>
      <c r="E25" s="22">
        <v>5</v>
      </c>
      <c r="F25" s="30" t="s">
        <v>162</v>
      </c>
    </row>
    <row r="26" spans="1:6" ht="24" customHeight="1" x14ac:dyDescent="0.25">
      <c r="B26" s="49" t="s">
        <v>163</v>
      </c>
      <c r="C26" s="23">
        <v>5.99</v>
      </c>
      <c r="D26" s="23">
        <v>-2.09</v>
      </c>
      <c r="E26" s="25">
        <v>1</v>
      </c>
      <c r="F26" s="31" t="s">
        <v>164</v>
      </c>
    </row>
    <row r="27" spans="1:6" ht="24" customHeight="1" x14ac:dyDescent="0.25">
      <c r="B27" s="50" t="s">
        <v>165</v>
      </c>
      <c r="C27" s="20">
        <v>7.62</v>
      </c>
      <c r="D27" s="20">
        <v>3.43</v>
      </c>
      <c r="E27" s="22">
        <v>6</v>
      </c>
      <c r="F27" s="30" t="s">
        <v>162</v>
      </c>
    </row>
    <row r="28" spans="1:6" ht="24" customHeight="1" x14ac:dyDescent="0.25">
      <c r="B28" s="49" t="s">
        <v>166</v>
      </c>
      <c r="C28" s="23">
        <v>7.68</v>
      </c>
      <c r="D28" s="23">
        <v>2.41</v>
      </c>
      <c r="E28" s="25">
        <v>4</v>
      </c>
      <c r="F28" s="31" t="s">
        <v>162</v>
      </c>
    </row>
  </sheetData>
  <mergeCells count="3">
    <mergeCell ref="B2:F2"/>
    <mergeCell ref="A4:F4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Scorecard</vt:lpstr>
      <vt:lpstr>Yearly &amp; Quarterly Trends</vt:lpstr>
      <vt:lpstr>Sub-Category Analysis</vt:lpstr>
      <vt:lpstr>Top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OSADEBAMWEN ENOBAKHARE</cp:lastModifiedBy>
  <cp:revision>0</cp:revision>
  <dcterms:created xsi:type="dcterms:W3CDTF">2026-06-21T21:26:05Z</dcterms:created>
  <dcterms:modified xsi:type="dcterms:W3CDTF">2026-06-22T21:00:32Z</dcterms:modified>
  <dc:language>en-US</dc:language>
</cp:coreProperties>
</file>